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eoluisvallejos/Downloads/"/>
    </mc:Choice>
  </mc:AlternateContent>
  <xr:revisionPtr revIDLastSave="0" documentId="8_{5C1CE470-381E-024C-8AC4-E6D530CB4D3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STADO DE 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1" i="1"/>
  <c r="B46" i="1" s="1"/>
  <c r="B38" i="1" l="1"/>
  <c r="B35" i="1"/>
  <c r="B36" i="1"/>
  <c r="B14" i="1"/>
  <c r="B31" i="1" s="1"/>
  <c r="B41" i="1" l="1"/>
  <c r="B19" i="1"/>
  <c r="B32" i="1" s="1"/>
  <c r="B42" i="1" l="1"/>
  <c r="B21" i="1"/>
  <c r="B33" i="1" s="1"/>
  <c r="B43" i="1" l="1"/>
  <c r="B25" i="1"/>
  <c r="B26" i="1" l="1"/>
  <c r="B45" i="1" s="1"/>
  <c r="B37" i="1" l="1"/>
  <c r="B27" i="1"/>
  <c r="B44" i="1" l="1"/>
  <c r="B34" i="1"/>
</calcChain>
</file>

<file path=xl/sharedStrings.xml><?xml version="1.0" encoding="utf-8"?>
<sst xmlns="http://schemas.openxmlformats.org/spreadsheetml/2006/main" count="84" uniqueCount="84">
  <si>
    <t>ESTADO DE RESULTADOS  |  VIVA CONSULTING</t>
  </si>
  <si>
    <t>PERIODO</t>
  </si>
  <si>
    <t>Ej: Enero 2026</t>
  </si>
  <si>
    <t>MES</t>
  </si>
  <si>
    <t>Ej: Enero</t>
  </si>
  <si>
    <t>AÑO</t>
  </si>
  <si>
    <t>Ej: 2026</t>
  </si>
  <si>
    <t>MONEDA</t>
  </si>
  <si>
    <t>PEN</t>
  </si>
  <si>
    <t>PEN · USD</t>
  </si>
  <si>
    <t>CONCEPTO</t>
  </si>
  <si>
    <t>MONTO (S/)</t>
  </si>
  <si>
    <t>NOTAS / REFERENCIA</t>
  </si>
  <si>
    <t>▸  INGRESOS</t>
  </si>
  <si>
    <t xml:space="preserve">  VENTAS NETAS</t>
  </si>
  <si>
    <t>Ingresos por ventas de bienes o servicios</t>
  </si>
  <si>
    <t xml:space="preserve">  OTROS INGRESOS OPERATIVOS</t>
  </si>
  <si>
    <t>Intereses ganados, devoluciones, etc.</t>
  </si>
  <si>
    <t>TOTAL INGRESOS</t>
  </si>
  <si>
    <t>Ventas + Otros ingresos</t>
  </si>
  <si>
    <t>▸  COSTO DE VENTAS</t>
  </si>
  <si>
    <t xml:space="preserve">  COSTO DE VENTAS</t>
  </si>
  <si>
    <t>Materia prima, mano obra directa, etc.</t>
  </si>
  <si>
    <t>UTILIDAD BRUTA</t>
  </si>
  <si>
    <t>Ingresos – Costo Ventas</t>
  </si>
  <si>
    <t>▸  GASTOS OPERATIVOS</t>
  </si>
  <si>
    <t xml:space="preserve">  GASTOS ADMINISTRATIVOS</t>
  </si>
  <si>
    <t>Sueldos admin, alquileres, servicios</t>
  </si>
  <si>
    <t xml:space="preserve">  GASTOS DE VENTAS</t>
  </si>
  <si>
    <t>Comisiones, publicidad, marketing</t>
  </si>
  <si>
    <t>TOTAL GASTOS OPERATIVOS</t>
  </si>
  <si>
    <t>G.Admin + G.Ventas</t>
  </si>
  <si>
    <t>EBITDA</t>
  </si>
  <si>
    <t>Utilidad Bruta – Gastos Operativos</t>
  </si>
  <si>
    <t xml:space="preserve">  DEPRECIACIÓN Y AMORTIZACIÓN</t>
  </si>
  <si>
    <t>Activos fijos e intangibles del período</t>
  </si>
  <si>
    <t>EBIT  (Utilidad Operativa)</t>
  </si>
  <si>
    <t>EBITDA – Depreciación</t>
  </si>
  <si>
    <t>▸  OTROS GASTOS / INGRESOS</t>
  </si>
  <si>
    <t xml:space="preserve">  GASTOS FINANCIEROS</t>
  </si>
  <si>
    <t>Intereses de préstamos bancarios</t>
  </si>
  <si>
    <t xml:space="preserve">  OTROS GASTOS NETOS</t>
  </si>
  <si>
    <t>Gastos o ingresos extraordinarios</t>
  </si>
  <si>
    <t>UTILIDAD ANTES DE IMPUESTOS</t>
  </si>
  <si>
    <t>EBIT – G.Fin – Otros</t>
  </si>
  <si>
    <t>IMPUESTO A LA RENTA (29.5%)</t>
  </si>
  <si>
    <t>UAI × 29.5% Régimen General</t>
  </si>
  <si>
    <t>UTILIDAD NETA</t>
  </si>
  <si>
    <t>UAI – Impuesto</t>
  </si>
  <si>
    <t>▸  KPIs FINANCIEROS  (calculados automáticamente)</t>
  </si>
  <si>
    <t>INDICADOR</t>
  </si>
  <si>
    <t>VALOR</t>
  </si>
  <si>
    <t>REFERENCIA / BENCHMARK</t>
  </si>
  <si>
    <t xml:space="preserve">  Margen Bruto</t>
  </si>
  <si>
    <t>Utilidad Bruta / Ingresos  ·  Objetivo: &gt;40%</t>
  </si>
  <si>
    <t xml:space="preserve">  Margen EBITDA</t>
  </si>
  <si>
    <t>EBITDA / Ingresos  ·  Objetivo: &gt;15%</t>
  </si>
  <si>
    <t xml:space="preserve">  Margen Operativo (EBIT)</t>
  </si>
  <si>
    <t>EBIT / Ingresos  ·  Objetivo: &gt;10%</t>
  </si>
  <si>
    <t xml:space="preserve">  Margen Neto</t>
  </si>
  <si>
    <t>Utilidad Neta / Ingresos  ·  Objetivo: &gt;8%</t>
  </si>
  <si>
    <t xml:space="preserve">  Costo Ventas / Ingresos</t>
  </si>
  <si>
    <t>Eficiencia de producción</t>
  </si>
  <si>
    <t xml:space="preserve">  Gastos Op. / Ingresos</t>
  </si>
  <si>
    <t>Eficiencia operativa  ·  Objetivo: &lt;40%</t>
  </si>
  <si>
    <t xml:space="preserve">  Tasa Efectiva Impuesto</t>
  </si>
  <si>
    <t>Impuesto / UAI  ·  Régimen General: 29.5%</t>
  </si>
  <si>
    <t xml:space="preserve">  Multiplicador Ingresos</t>
  </si>
  <si>
    <t>Total Ingresos / Ventas Netas</t>
  </si>
  <si>
    <t>▸  INDICADORES ABSOLUTOS</t>
  </si>
  <si>
    <t xml:space="preserve">  Utilidad Bruta (S/)</t>
  </si>
  <si>
    <t>Cobertura sobre costos directos</t>
  </si>
  <si>
    <t xml:space="preserve">  EBITDA (S/)</t>
  </si>
  <si>
    <t>Generación operativa de caja</t>
  </si>
  <si>
    <t xml:space="preserve">  EBIT (S/)</t>
  </si>
  <si>
    <t>Beneficio antes de intereses e impuestos</t>
  </si>
  <si>
    <t xml:space="preserve">  Utilidad Neta (S/)</t>
  </si>
  <si>
    <t>Beneficio final del período</t>
  </si>
  <si>
    <t xml:space="preserve">  Gastos Totales (S/)</t>
  </si>
  <si>
    <t>Suma de todos los gastos</t>
  </si>
  <si>
    <t xml:space="preserve">  Punto de Equilibrio (est.)</t>
  </si>
  <si>
    <t>Ingresos necesarios para cubrir gastos fijos</t>
  </si>
  <si>
    <t>LEYENDA:  🔵 Celdas AZULES = ingresa tus datos   ·   ⚫ Celdas NEGRAS = calculadas automáticamente por fórmula   ·   🟣 Sección KPIs = solo lectura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</si>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</sst>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1A3C6E"/>
      <name val="Arial"/>
      <family val="2"/>
    </font>
    <font>
      <sz val="10"/>
      <color rgb="FF0000FF"/>
      <name val="Arial"/>
      <family val="2"/>
    </font>
    <font>
      <i/>
      <sz val="9"/>
      <color rgb="FFAAAAAA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i/>
      <sz val="9"/>
      <color rgb="FF888888"/>
      <name val="Arial"/>
      <family val="2"/>
    </font>
    <font>
      <b/>
      <sz val="10"/>
      <color rgb="FF065F46"/>
      <name val="Arial"/>
      <family val="2"/>
    </font>
    <font>
      <b/>
      <sz val="9"/>
      <color rgb="FF4C1D95"/>
      <name val="Arial"/>
      <family val="2"/>
    </font>
    <font>
      <b/>
      <sz val="10"/>
      <color rgb="FF4C1D95"/>
      <name val="Arial"/>
      <family val="2"/>
    </font>
    <font>
      <i/>
      <sz val="9"/>
      <color rgb="FF66666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C6E"/>
        <bgColor rgb="FF1A3C6E"/>
      </patternFill>
    </fill>
    <fill>
      <patternFill patternType="solid">
        <fgColor rgb="FFEFF6FF"/>
        <bgColor rgb="FFEFF6FF"/>
      </patternFill>
    </fill>
    <fill>
      <patternFill patternType="solid">
        <fgColor rgb="FFDBEAFE"/>
        <bgColor rgb="FFDBEAFE"/>
      </patternFill>
    </fill>
    <fill>
      <patternFill patternType="solid">
        <fgColor rgb="FFF0FDF4"/>
        <bgColor rgb="FFF0FDF4"/>
      </patternFill>
    </fill>
    <fill>
      <patternFill patternType="solid">
        <fgColor rgb="FF4C1D95"/>
        <bgColor rgb="FF4C1D95"/>
      </patternFill>
    </fill>
    <fill>
      <patternFill patternType="solid">
        <fgColor rgb="FFF5F3FF"/>
        <bgColor rgb="FFF5F3FF"/>
      </patternFill>
    </fill>
    <fill>
      <patternFill patternType="solid">
        <fgColor rgb="FF0F766E"/>
        <b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4" fontId="2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4" fontId="8" fillId="5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4" fontId="5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164" fontId="10" fillId="7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horizontal="left" vertical="center" wrapText="1"/>
    </xf>
    <xf numFmtId="2" fontId="10" fillId="7" borderId="0" xfId="0" applyNumberFormat="1" applyFont="1" applyFill="1" applyAlignment="1">
      <alignment horizontal="right" vertical="center"/>
    </xf>
    <xf numFmtId="4" fontId="8" fillId="7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 indent="1"/>
    </xf>
    <xf numFmtId="17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A29" sqref="A29:D29"/>
    </sheetView>
  </sheetViews>
  <sheetFormatPr baseColWidth="10" defaultColWidth="8.83203125" defaultRowHeight="15" x14ac:dyDescent="0.2"/>
  <cols>
    <col min="1" max="1" width="42" customWidth="1"/>
    <col min="2" max="2" width="20" customWidth="1"/>
    <col min="3" max="3" width="14" customWidth="1"/>
    <col min="4" max="4" width="32" customWidth="1"/>
  </cols>
  <sheetData>
    <row r="1" spans="1:4" ht="34" customHeight="1" x14ac:dyDescent="0.2">
      <c r="A1" s="28" t="s">
        <v>0</v>
      </c>
      <c r="B1" s="29"/>
      <c r="C1" s="29"/>
      <c r="D1" s="29"/>
    </row>
    <row r="2" spans="1:4" ht="18" customHeight="1" x14ac:dyDescent="0.2">
      <c r="A2" s="1" t="s">
        <v>1</v>
      </c>
      <c r="B2" s="34">
        <v>46082</v>
      </c>
      <c r="D2" s="3" t="s">
        <v>2</v>
      </c>
    </row>
    <row r="3" spans="1:4" ht="18" customHeight="1" x14ac:dyDescent="0.2">
      <c r="A3" s="1" t="s">
        <v>3</v>
      </c>
      <c r="B3" s="2" t="s">
        <v>83</v>
      </c>
      <c r="D3" s="3" t="s">
        <v>4</v>
      </c>
    </row>
    <row r="4" spans="1:4" ht="18" customHeight="1" x14ac:dyDescent="0.2">
      <c r="A4" s="1" t="s">
        <v>5</v>
      </c>
      <c r="B4" s="2">
        <v>2026</v>
      </c>
      <c r="D4" s="3" t="s">
        <v>6</v>
      </c>
    </row>
    <row r="5" spans="1:4" ht="18" customHeight="1" x14ac:dyDescent="0.2">
      <c r="A5" s="1" t="s">
        <v>7</v>
      </c>
      <c r="B5" s="2" t="s">
        <v>8</v>
      </c>
      <c r="D5" s="3" t="s">
        <v>9</v>
      </c>
    </row>
    <row r="6" spans="1:4" ht="6" customHeight="1" x14ac:dyDescent="0.2"/>
    <row r="7" spans="1:4" ht="22" customHeight="1" x14ac:dyDescent="0.2">
      <c r="A7" s="4" t="s">
        <v>10</v>
      </c>
      <c r="B7" s="5" t="s">
        <v>11</v>
      </c>
      <c r="C7" s="4"/>
      <c r="D7" s="4" t="s">
        <v>12</v>
      </c>
    </row>
    <row r="8" spans="1:4" ht="20" customHeight="1" x14ac:dyDescent="0.2">
      <c r="A8" s="31" t="s">
        <v>13</v>
      </c>
      <c r="B8" s="29"/>
      <c r="C8" s="29"/>
      <c r="D8" s="29"/>
    </row>
    <row r="9" spans="1:4" ht="18" customHeight="1" x14ac:dyDescent="0.2">
      <c r="A9" s="6" t="s">
        <v>14</v>
      </c>
      <c r="B9" s="7">
        <v>2000440</v>
      </c>
      <c r="C9" s="6"/>
      <c r="D9" s="8" t="s">
        <v>15</v>
      </c>
    </row>
    <row r="10" spans="1:4" ht="18" customHeight="1" x14ac:dyDescent="0.2">
      <c r="A10" s="6" t="s">
        <v>16</v>
      </c>
      <c r="B10" s="7">
        <v>34556</v>
      </c>
      <c r="C10" s="6"/>
      <c r="D10" s="8" t="s">
        <v>17</v>
      </c>
    </row>
    <row r="11" spans="1:4" ht="20" customHeight="1" x14ac:dyDescent="0.2">
      <c r="A11" s="9" t="s">
        <v>18</v>
      </c>
      <c r="B11" s="10">
        <f>B9+B10</f>
        <v>2034996</v>
      </c>
      <c r="C11" s="11"/>
      <c r="D11" s="12" t="s">
        <v>19</v>
      </c>
    </row>
    <row r="12" spans="1:4" ht="20" customHeight="1" x14ac:dyDescent="0.2">
      <c r="A12" s="31" t="s">
        <v>20</v>
      </c>
      <c r="B12" s="29"/>
      <c r="C12" s="29"/>
      <c r="D12" s="29"/>
    </row>
    <row r="13" spans="1:4" ht="18" customHeight="1" x14ac:dyDescent="0.2">
      <c r="A13" s="6" t="s">
        <v>21</v>
      </c>
      <c r="B13" s="7">
        <v>756889</v>
      </c>
      <c r="C13" s="6"/>
      <c r="D13" s="8" t="s">
        <v>22</v>
      </c>
    </row>
    <row r="14" spans="1:4" ht="20" customHeight="1" x14ac:dyDescent="0.2">
      <c r="A14" s="9" t="s">
        <v>23</v>
      </c>
      <c r="B14" s="10">
        <f>B11-B13</f>
        <v>1278107</v>
      </c>
      <c r="C14" s="11"/>
      <c r="D14" s="12" t="s">
        <v>24</v>
      </c>
    </row>
    <row r="15" spans="1:4" ht="20" customHeight="1" x14ac:dyDescent="0.2">
      <c r="A15" s="31" t="s">
        <v>25</v>
      </c>
      <c r="B15" s="29"/>
      <c r="C15" s="29"/>
      <c r="D15" s="29"/>
    </row>
    <row r="16" spans="1:4" ht="18" customHeight="1" x14ac:dyDescent="0.2">
      <c r="A16" s="6" t="s">
        <v>26</v>
      </c>
      <c r="B16" s="7">
        <v>321133</v>
      </c>
      <c r="C16" s="6"/>
      <c r="D16" s="8" t="s">
        <v>27</v>
      </c>
    </row>
    <row r="17" spans="1:4" ht="18" customHeight="1" x14ac:dyDescent="0.2">
      <c r="A17" s="6" t="s">
        <v>28</v>
      </c>
      <c r="B17" s="7">
        <v>23455</v>
      </c>
      <c r="C17" s="6"/>
      <c r="D17" s="8" t="s">
        <v>29</v>
      </c>
    </row>
    <row r="18" spans="1:4" ht="20" customHeight="1" x14ac:dyDescent="0.2">
      <c r="A18" s="9" t="s">
        <v>30</v>
      </c>
      <c r="B18" s="10">
        <f>B16+B17</f>
        <v>344588</v>
      </c>
      <c r="C18" s="11"/>
      <c r="D18" s="12" t="s">
        <v>31</v>
      </c>
    </row>
    <row r="19" spans="1:4" ht="20" customHeight="1" x14ac:dyDescent="0.2">
      <c r="A19" s="9" t="s">
        <v>32</v>
      </c>
      <c r="B19" s="10">
        <f>B14-B18</f>
        <v>933519</v>
      </c>
      <c r="C19" s="11"/>
      <c r="D19" s="12" t="s">
        <v>33</v>
      </c>
    </row>
    <row r="20" spans="1:4" ht="18" customHeight="1" x14ac:dyDescent="0.2">
      <c r="A20" s="6" t="s">
        <v>34</v>
      </c>
      <c r="B20" s="7">
        <v>34566</v>
      </c>
      <c r="C20" s="6"/>
      <c r="D20" s="8" t="s">
        <v>35</v>
      </c>
    </row>
    <row r="21" spans="1:4" ht="20" customHeight="1" x14ac:dyDescent="0.2">
      <c r="A21" s="13" t="s">
        <v>36</v>
      </c>
      <c r="B21" s="14">
        <f>B19-B20</f>
        <v>898953</v>
      </c>
      <c r="C21" s="15"/>
      <c r="D21" s="16" t="s">
        <v>37</v>
      </c>
    </row>
    <row r="22" spans="1:4" ht="20" customHeight="1" x14ac:dyDescent="0.2">
      <c r="A22" s="31" t="s">
        <v>38</v>
      </c>
      <c r="B22" s="29"/>
      <c r="C22" s="29"/>
      <c r="D22" s="29"/>
    </row>
    <row r="23" spans="1:4" ht="18" customHeight="1" x14ac:dyDescent="0.2">
      <c r="A23" s="6" t="s">
        <v>39</v>
      </c>
      <c r="B23" s="7">
        <v>34555</v>
      </c>
      <c r="C23" s="6"/>
      <c r="D23" s="8" t="s">
        <v>40</v>
      </c>
    </row>
    <row r="24" spans="1:4" ht="18" customHeight="1" x14ac:dyDescent="0.2">
      <c r="A24" s="6" t="s">
        <v>41</v>
      </c>
      <c r="B24" s="7">
        <v>3454</v>
      </c>
      <c r="C24" s="6"/>
      <c r="D24" s="8" t="s">
        <v>42</v>
      </c>
    </row>
    <row r="25" spans="1:4" ht="20" customHeight="1" x14ac:dyDescent="0.2">
      <c r="A25" s="9" t="s">
        <v>43</v>
      </c>
      <c r="B25" s="10">
        <f>B21-B23-B24</f>
        <v>860944</v>
      </c>
      <c r="C25" s="11"/>
      <c r="D25" s="12" t="s">
        <v>44</v>
      </c>
    </row>
    <row r="26" spans="1:4" ht="20" customHeight="1" x14ac:dyDescent="0.2">
      <c r="A26" s="13" t="s">
        <v>45</v>
      </c>
      <c r="B26" s="14">
        <f>IF(B25&gt;0,B25*0.295,0)</f>
        <v>253978.47999999998</v>
      </c>
      <c r="C26" s="15"/>
      <c r="D26" s="16" t="s">
        <v>46</v>
      </c>
    </row>
    <row r="27" spans="1:4" ht="20" customHeight="1" x14ac:dyDescent="0.2">
      <c r="A27" s="17" t="s">
        <v>47</v>
      </c>
      <c r="B27" s="18">
        <f>B25-B26</f>
        <v>606965.52</v>
      </c>
      <c r="C27" s="19"/>
      <c r="D27" s="20" t="s">
        <v>48</v>
      </c>
    </row>
    <row r="28" spans="1:4" ht="10" customHeight="1" x14ac:dyDescent="0.2"/>
    <row r="29" spans="1:4" ht="20" customHeight="1" x14ac:dyDescent="0.2">
      <c r="A29" s="33" t="s">
        <v>49</v>
      </c>
      <c r="B29" s="29"/>
      <c r="C29" s="29"/>
      <c r="D29" s="29"/>
    </row>
    <row r="30" spans="1:4" ht="18" customHeight="1" x14ac:dyDescent="0.2">
      <c r="A30" s="21" t="s">
        <v>50</v>
      </c>
      <c r="B30" s="22" t="s">
        <v>51</v>
      </c>
      <c r="D30" s="21" t="s">
        <v>52</v>
      </c>
    </row>
    <row r="31" spans="1:4" ht="18" customHeight="1" x14ac:dyDescent="0.2">
      <c r="A31" s="23" t="s">
        <v>53</v>
      </c>
      <c r="B31" s="24">
        <f>IF(B11&gt;0,B14/B11,0)</f>
        <v>0.62806364238553791</v>
      </c>
      <c r="C31" s="23"/>
      <c r="D31" s="25" t="s">
        <v>54</v>
      </c>
    </row>
    <row r="32" spans="1:4" ht="18" customHeight="1" x14ac:dyDescent="0.2">
      <c r="A32" s="23" t="s">
        <v>55</v>
      </c>
      <c r="B32" s="24">
        <f>IF(B11&gt;0,B19/B11,0)</f>
        <v>0.45873259701738972</v>
      </c>
      <c r="C32" s="23"/>
      <c r="D32" s="25" t="s">
        <v>56</v>
      </c>
    </row>
    <row r="33" spans="1:4" ht="18" customHeight="1" x14ac:dyDescent="0.2">
      <c r="A33" s="23" t="s">
        <v>57</v>
      </c>
      <c r="B33" s="24">
        <f>IF(B11&gt;0,B21/B11,0)</f>
        <v>0.4417468142443523</v>
      </c>
      <c r="C33" s="23"/>
      <c r="D33" s="25" t="s">
        <v>58</v>
      </c>
    </row>
    <row r="34" spans="1:4" ht="18" customHeight="1" x14ac:dyDescent="0.2">
      <c r="A34" s="23" t="s">
        <v>59</v>
      </c>
      <c r="B34" s="24">
        <f>IF(B11&gt;0,B27/B11,0)</f>
        <v>0.29826374105895048</v>
      </c>
      <c r="C34" s="23"/>
      <c r="D34" s="25" t="s">
        <v>60</v>
      </c>
    </row>
    <row r="35" spans="1:4" ht="18" customHeight="1" x14ac:dyDescent="0.2">
      <c r="A35" s="23" t="s">
        <v>61</v>
      </c>
      <c r="B35" s="24">
        <f>IF(B11&gt;0,B13/B11,0)</f>
        <v>0.37193635761446214</v>
      </c>
      <c r="C35" s="23"/>
      <c r="D35" s="25" t="s">
        <v>62</v>
      </c>
    </row>
    <row r="36" spans="1:4" ht="18" customHeight="1" x14ac:dyDescent="0.2">
      <c r="A36" s="23" t="s">
        <v>63</v>
      </c>
      <c r="B36" s="24">
        <f>IF(B11&gt;0,B18/B11,0)</f>
        <v>0.16933104536814814</v>
      </c>
      <c r="C36" s="23"/>
      <c r="D36" s="25" t="s">
        <v>64</v>
      </c>
    </row>
    <row r="37" spans="1:4" ht="18" customHeight="1" x14ac:dyDescent="0.2">
      <c r="A37" s="23" t="s">
        <v>65</v>
      </c>
      <c r="B37" s="24">
        <f>IF(B25&gt;0,B26/B25,0)</f>
        <v>0.29499999999999998</v>
      </c>
      <c r="C37" s="23"/>
      <c r="D37" s="25" t="s">
        <v>66</v>
      </c>
    </row>
    <row r="38" spans="1:4" ht="18" customHeight="1" x14ac:dyDescent="0.2">
      <c r="A38" s="23" t="s">
        <v>67</v>
      </c>
      <c r="B38" s="26">
        <f>IF(B9&gt;0,B11/B9,0)</f>
        <v>1.0172741996760712</v>
      </c>
      <c r="C38" s="23"/>
      <c r="D38" s="25" t="s">
        <v>68</v>
      </c>
    </row>
    <row r="39" spans="1:4" ht="8" customHeight="1" x14ac:dyDescent="0.2"/>
    <row r="40" spans="1:4" ht="20" customHeight="1" x14ac:dyDescent="0.2">
      <c r="A40" s="30" t="s">
        <v>69</v>
      </c>
      <c r="B40" s="29"/>
      <c r="C40" s="29"/>
      <c r="D40" s="29"/>
    </row>
    <row r="41" spans="1:4" ht="18" customHeight="1" x14ac:dyDescent="0.2">
      <c r="A41" s="23" t="s">
        <v>70</v>
      </c>
      <c r="B41" s="27">
        <f>B14</f>
        <v>1278107</v>
      </c>
      <c r="D41" s="25" t="s">
        <v>71</v>
      </c>
    </row>
    <row r="42" spans="1:4" ht="18" customHeight="1" x14ac:dyDescent="0.2">
      <c r="A42" s="23" t="s">
        <v>72</v>
      </c>
      <c r="B42" s="27">
        <f>B19</f>
        <v>933519</v>
      </c>
      <c r="D42" s="25" t="s">
        <v>73</v>
      </c>
    </row>
    <row r="43" spans="1:4" ht="18" customHeight="1" x14ac:dyDescent="0.2">
      <c r="A43" s="23" t="s">
        <v>74</v>
      </c>
      <c r="B43" s="27">
        <f>B21</f>
        <v>898953</v>
      </c>
      <c r="D43" s="25" t="s">
        <v>75</v>
      </c>
    </row>
    <row r="44" spans="1:4" ht="18" customHeight="1" x14ac:dyDescent="0.2">
      <c r="A44" s="23" t="s">
        <v>76</v>
      </c>
      <c r="B44" s="27">
        <f>B27</f>
        <v>606965.52</v>
      </c>
      <c r="D44" s="25" t="s">
        <v>77</v>
      </c>
    </row>
    <row r="45" spans="1:4" ht="18" customHeight="1" x14ac:dyDescent="0.2">
      <c r="A45" s="23" t="s">
        <v>78</v>
      </c>
      <c r="B45" s="27">
        <f>B13+B18+B20+B23+B24+B26</f>
        <v>1428030.48</v>
      </c>
      <c r="D45" s="25" t="s">
        <v>79</v>
      </c>
    </row>
    <row r="46" spans="1:4" ht="18" customHeight="1" x14ac:dyDescent="0.2">
      <c r="A46" s="23" t="s">
        <v>80</v>
      </c>
      <c r="B46" s="27">
        <f>IF((B11-B13)&gt;0,B18/(1-B13/B11),0)</f>
        <v>548651.40527983964</v>
      </c>
      <c r="D46" s="25" t="s">
        <v>81</v>
      </c>
    </row>
    <row r="47" spans="1:4" ht="10" customHeight="1" x14ac:dyDescent="0.2"/>
    <row r="48" spans="1:4" ht="22" customHeight="1" x14ac:dyDescent="0.2">
      <c r="A48" s="32" t="s">
        <v>82</v>
      </c>
      <c r="B48" s="29"/>
      <c r="C48" s="29"/>
      <c r="D48" s="29"/>
    </row>
  </sheetData>
  <mergeCells count="8">
    <mergeCell ref="A48:D48"/>
    <mergeCell ref="A15:D15"/>
    <mergeCell ref="A29:D29"/>
    <mergeCell ref="A1:D1"/>
    <mergeCell ref="A40:D40"/>
    <mergeCell ref="A8:D8"/>
    <mergeCell ref="A22:D22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Vallejos</cp:lastModifiedBy>
  <dcterms:created xsi:type="dcterms:W3CDTF">2026-05-18T00:40:03Z</dcterms:created>
  <dcterms:modified xsi:type="dcterms:W3CDTF">2026-05-18T00:41:21Z</dcterms:modified>
</cp:coreProperties>
</file>