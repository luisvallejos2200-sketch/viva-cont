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ceoluisvallejos/Downloads/"/>
    </mc:Choice>
  </mc:AlternateContent>
  <xr:revisionPtr revIDLastSave="0" documentId="8_{1A7A6AE8-F02A-F444-9004-4E5B5F37EDBF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ESTADO DE RESULTA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1" l="1"/>
  <c r="B26" i="1"/>
  <c r="B25" i="1"/>
  <c r="B18" i="1"/>
  <c r="B14" i="1"/>
  <c r="B11" i="1"/>
</calcChain>
</file>

<file path=xl/sharedStrings.xml><?xml version="1.0" encoding="utf-8"?>
<sst xmlns="http://schemas.openxmlformats.org/spreadsheetml/2006/main" count="41" uniqueCount="41">
  <si>
    <t>PLANTILLA · ESTADO DE RESULTADOS | VIVA CONSULTING</t>
  </si>
  <si>
    <t>PERIODO</t>
  </si>
  <si>
    <t>MES</t>
  </si>
  <si>
    <t>AÑO</t>
  </si>
  <si>
    <t>MONEDA</t>
  </si>
  <si>
    <t>CONCEPTO</t>
  </si>
  <si>
    <t>MONTO (S/)</t>
  </si>
  <si>
    <t>NOTAS</t>
  </si>
  <si>
    <t>── INGRESOS ──────────────────────────────</t>
  </si>
  <si>
    <t>VENTAS NETAS</t>
  </si>
  <si>
    <t>Ingresos por ventas de productos/servicios</t>
  </si>
  <si>
    <t>OTROS INGRESOS</t>
  </si>
  <si>
    <t>Ingresos no operativos</t>
  </si>
  <si>
    <t>TOTAL INGRESOS</t>
  </si>
  <si>
    <t>── COSTOS ────────────────────────────────</t>
  </si>
  <si>
    <t>COSTO DE VENTAS</t>
  </si>
  <si>
    <t>Costo directo de bienes/servicios</t>
  </si>
  <si>
    <t>UTILIDAD BRUTA</t>
  </si>
  <si>
    <t>── GASTOS OPERATIVOS ─────────────────────</t>
  </si>
  <si>
    <t>GASTOS ADMINISTRATIVOS</t>
  </si>
  <si>
    <t>Sueldos admin, alquileres, etc.</t>
  </si>
  <si>
    <t>GASTOS DE VENTAS</t>
  </si>
  <si>
    <t>Comisiones, publicidad, etc.</t>
  </si>
  <si>
    <t>TOTAL GASTOS OPERATIVOS</t>
  </si>
  <si>
    <t>EBITDA</t>
  </si>
  <si>
    <t>DEPRECIACION Y AMORTIZACION</t>
  </si>
  <si>
    <t>Activos fijos e intangibles</t>
  </si>
  <si>
    <t>EBIT</t>
  </si>
  <si>
    <t>Utilidad Operativa antes de intereses</t>
  </si>
  <si>
    <t>── OTROS ─────────────────────────────────</t>
  </si>
  <si>
    <t>GASTOS FINANCIEROS</t>
  </si>
  <si>
    <t>Intereses de deudas</t>
  </si>
  <si>
    <t>OTROS GASTOS NETOS</t>
  </si>
  <si>
    <t>Otros gastos/ingresos extraordinarios</t>
  </si>
  <si>
    <t>UTILIDAD ANTES DE IMPUESTOS</t>
  </si>
  <si>
    <t>IMPUESTO A LA RENTA</t>
  </si>
  <si>
    <t>Tasa: 29.5% (Régimen General)</t>
  </si>
  <si>
    <t>UTILIDAD NETA</t>
  </si>
  <si>
    <t>📘 Completa las celdas en AZUL · Los totales son calculados automáticamente por VIVA CONT</t>
  </si>
  <si>
    <t>Abril 2025 a Marzo 2026</t>
  </si>
  <si>
    <t>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</si>
</sst>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b/>
      <sz val="10"/>
      <name val="Arial"/>
      <family val="2"/>
    </font>
    <font>
      <sz val="10"/>
      <color rgb="FF0000FF"/>
      <name val="Arial"/>
      <family val="2"/>
    </font>
    <font>
      <i/>
      <sz val="9"/>
      <color rgb="FF888888"/>
      <name val="Arial"/>
      <family val="2"/>
    </font>
    <font>
      <b/>
      <sz val="10"/>
      <color rgb="FFFFFFFF"/>
      <name val="Arial"/>
      <family val="2"/>
    </font>
    <font>
      <sz val="10"/>
      <color rgb="FF333333"/>
      <name val="Arial"/>
      <family val="2"/>
    </font>
    <font>
      <sz val="10"/>
      <color rgb="FF000000"/>
      <name val="Arial"/>
      <family val="2"/>
    </font>
    <font>
      <b/>
      <sz val="10"/>
      <color rgb="FF1A3C6E"/>
      <name val="Arial"/>
      <family val="2"/>
    </font>
    <font>
      <i/>
      <sz val="9"/>
      <color rgb="FF66666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A3C6E"/>
        <bgColor rgb="FF1A3C6E"/>
      </patternFill>
    </fill>
    <fill>
      <patternFill patternType="solid">
        <fgColor rgb="FFF5F5F5"/>
        <bgColor rgb="FFF5F5F5"/>
      </patternFill>
    </fill>
    <fill>
      <patternFill patternType="solid">
        <fgColor rgb="FFEBF3FB"/>
        <bgColor rgb="FF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left" vertical="center" indent="1"/>
    </xf>
    <xf numFmtId="4" fontId="7" fillId="3" borderId="0" xfId="0" applyNumberFormat="1" applyFont="1" applyFill="1" applyAlignment="1">
      <alignment horizontal="right" vertical="center"/>
    </xf>
    <xf numFmtId="0" fontId="6" fillId="0" borderId="0" xfId="0" applyFont="1" applyAlignment="1">
      <alignment horizontal="left" vertical="center" indent="1"/>
    </xf>
    <xf numFmtId="4" fontId="3" fillId="0" borderId="0" xfId="0" applyNumberFormat="1" applyFont="1" applyAlignment="1">
      <alignment horizontal="right" vertical="center"/>
    </xf>
    <xf numFmtId="0" fontId="8" fillId="4" borderId="0" xfId="0" applyFont="1" applyFill="1" applyAlignment="1">
      <alignment horizontal="left" vertical="center"/>
    </xf>
    <xf numFmtId="4" fontId="7" fillId="4" borderId="0" xfId="0" applyNumberFormat="1" applyFont="1" applyFill="1" applyAlignment="1">
      <alignment horizontal="right" vertical="center"/>
    </xf>
    <xf numFmtId="0" fontId="9" fillId="0" borderId="0" xfId="0" applyFont="1"/>
    <xf numFmtId="0" fontId="1" fillId="2" borderId="0" xfId="0" applyFont="1" applyFill="1" applyAlignment="1">
      <alignment horizontal="center" vertical="center"/>
    </xf>
    <xf numFmtId="0" fontId="0" fillId="0" borderId="0" xfId="0"/>
    <xf numFmtId="17" fontId="4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abSelected="1" workbookViewId="0">
      <selection activeCell="B26" sqref="B26"/>
    </sheetView>
  </sheetViews>
  <sheetFormatPr baseColWidth="10" defaultColWidth="8.83203125" defaultRowHeight="15" x14ac:dyDescent="0.2"/>
  <cols>
    <col min="1" max="1" width="40" customWidth="1"/>
    <col min="2" max="2" width="18" customWidth="1"/>
    <col min="3" max="3" width="30" customWidth="1"/>
  </cols>
  <sheetData>
    <row r="1" spans="1:3" ht="30" customHeight="1" x14ac:dyDescent="0.2">
      <c r="A1" s="12" t="s">
        <v>0</v>
      </c>
      <c r="B1" s="13"/>
      <c r="C1" s="13"/>
    </row>
    <row r="2" spans="1:3" x14ac:dyDescent="0.2">
      <c r="A2" s="1" t="s">
        <v>1</v>
      </c>
      <c r="B2" s="2"/>
      <c r="C2" s="3" t="s">
        <v>39</v>
      </c>
    </row>
    <row r="3" spans="1:3" x14ac:dyDescent="0.2">
      <c r="A3" s="1" t="s">
        <v>2</v>
      </c>
      <c r="B3" s="2"/>
      <c r="C3" s="14">
        <v>46023</v>
      </c>
    </row>
    <row r="4" spans="1:3" x14ac:dyDescent="0.2">
      <c r="A4" s="1" t="s">
        <v>3</v>
      </c>
      <c r="B4" s="2"/>
      <c r="C4" s="3">
        <v>2026</v>
      </c>
    </row>
    <row r="5" spans="1:3" x14ac:dyDescent="0.2">
      <c r="A5" s="1" t="s">
        <v>4</v>
      </c>
      <c r="B5" s="2"/>
      <c r="C5" s="3" t="s">
        <v>40</v>
      </c>
    </row>
    <row r="6" spans="1:3" ht="6" customHeight="1" x14ac:dyDescent="0.2"/>
    <row r="7" spans="1:3" x14ac:dyDescent="0.2">
      <c r="A7" s="4" t="s">
        <v>5</v>
      </c>
      <c r="B7" s="4" t="s">
        <v>6</v>
      </c>
      <c r="C7" s="4" t="s">
        <v>7</v>
      </c>
    </row>
    <row r="8" spans="1:3" ht="18" customHeight="1" x14ac:dyDescent="0.2">
      <c r="A8" s="5" t="s">
        <v>8</v>
      </c>
      <c r="B8" s="6"/>
    </row>
    <row r="9" spans="1:3" ht="18" customHeight="1" x14ac:dyDescent="0.2">
      <c r="A9" s="7" t="s">
        <v>9</v>
      </c>
      <c r="B9" s="8">
        <v>3390000</v>
      </c>
      <c r="C9" s="3" t="s">
        <v>10</v>
      </c>
    </row>
    <row r="10" spans="1:3" ht="18" customHeight="1" x14ac:dyDescent="0.2">
      <c r="A10" s="7" t="s">
        <v>11</v>
      </c>
      <c r="B10" s="8">
        <v>23000</v>
      </c>
      <c r="C10" s="3" t="s">
        <v>12</v>
      </c>
    </row>
    <row r="11" spans="1:3" ht="18" customHeight="1" x14ac:dyDescent="0.2">
      <c r="A11" s="9" t="s">
        <v>13</v>
      </c>
      <c r="B11" s="10">
        <f>SUM(B9:B10)</f>
        <v>3413000</v>
      </c>
    </row>
    <row r="12" spans="1:3" ht="18" customHeight="1" x14ac:dyDescent="0.2">
      <c r="A12" s="5" t="s">
        <v>14</v>
      </c>
      <c r="B12" s="6"/>
    </row>
    <row r="13" spans="1:3" ht="18" customHeight="1" x14ac:dyDescent="0.2">
      <c r="A13" s="7" t="s">
        <v>15</v>
      </c>
      <c r="B13" s="8">
        <v>1200000</v>
      </c>
      <c r="C13" s="3" t="s">
        <v>16</v>
      </c>
    </row>
    <row r="14" spans="1:3" ht="18" customHeight="1" x14ac:dyDescent="0.2">
      <c r="A14" s="9" t="s">
        <v>17</v>
      </c>
      <c r="B14" s="10">
        <f>B11-B13</f>
        <v>2213000</v>
      </c>
    </row>
    <row r="15" spans="1:3" ht="18" customHeight="1" x14ac:dyDescent="0.2">
      <c r="A15" s="5" t="s">
        <v>18</v>
      </c>
      <c r="B15" s="6"/>
    </row>
    <row r="16" spans="1:3" ht="18" customHeight="1" x14ac:dyDescent="0.2">
      <c r="A16" s="7" t="s">
        <v>19</v>
      </c>
      <c r="B16" s="8">
        <v>300000</v>
      </c>
      <c r="C16" s="3" t="s">
        <v>20</v>
      </c>
    </row>
    <row r="17" spans="1:3" ht="18" customHeight="1" x14ac:dyDescent="0.2">
      <c r="A17" s="7" t="s">
        <v>21</v>
      </c>
      <c r="B17" s="8">
        <v>130000</v>
      </c>
      <c r="C17" s="3" t="s">
        <v>22</v>
      </c>
    </row>
    <row r="18" spans="1:3" ht="18" customHeight="1" x14ac:dyDescent="0.2">
      <c r="A18" s="9" t="s">
        <v>23</v>
      </c>
      <c r="B18" s="10">
        <f>SUM(B16:B17)</f>
        <v>430000</v>
      </c>
    </row>
    <row r="19" spans="1:3" ht="18" customHeight="1" x14ac:dyDescent="0.2">
      <c r="A19" s="9" t="s">
        <v>24</v>
      </c>
      <c r="B19" s="10"/>
    </row>
    <row r="20" spans="1:3" ht="18" customHeight="1" x14ac:dyDescent="0.2">
      <c r="A20" s="7" t="s">
        <v>25</v>
      </c>
      <c r="B20" s="8">
        <v>2000</v>
      </c>
      <c r="C20" s="3" t="s">
        <v>26</v>
      </c>
    </row>
    <row r="21" spans="1:3" ht="18" customHeight="1" x14ac:dyDescent="0.2">
      <c r="A21" s="9" t="s">
        <v>27</v>
      </c>
      <c r="B21" s="10"/>
      <c r="C21" s="3" t="s">
        <v>28</v>
      </c>
    </row>
    <row r="22" spans="1:3" ht="18" customHeight="1" x14ac:dyDescent="0.2">
      <c r="A22" s="5" t="s">
        <v>29</v>
      </c>
      <c r="B22" s="6"/>
    </row>
    <row r="23" spans="1:3" ht="18" customHeight="1" x14ac:dyDescent="0.2">
      <c r="A23" s="7" t="s">
        <v>30</v>
      </c>
      <c r="B23" s="8">
        <v>30000</v>
      </c>
      <c r="C23" s="3" t="s">
        <v>31</v>
      </c>
    </row>
    <row r="24" spans="1:3" ht="18" customHeight="1" x14ac:dyDescent="0.2">
      <c r="A24" s="7" t="s">
        <v>32</v>
      </c>
      <c r="B24" s="8">
        <v>12000</v>
      </c>
      <c r="C24" s="3" t="s">
        <v>33</v>
      </c>
    </row>
    <row r="25" spans="1:3" ht="18" customHeight="1" x14ac:dyDescent="0.2">
      <c r="A25" s="9" t="s">
        <v>34</v>
      </c>
      <c r="B25" s="10">
        <f>B14-B18-B23-B24</f>
        <v>1741000</v>
      </c>
    </row>
    <row r="26" spans="1:3" ht="18" customHeight="1" x14ac:dyDescent="0.2">
      <c r="A26" s="7" t="s">
        <v>35</v>
      </c>
      <c r="B26" s="8">
        <f>B25*0.3</f>
        <v>522300</v>
      </c>
      <c r="C26" s="3" t="s">
        <v>36</v>
      </c>
    </row>
    <row r="27" spans="1:3" ht="18" customHeight="1" x14ac:dyDescent="0.2">
      <c r="A27" s="9" t="s">
        <v>37</v>
      </c>
      <c r="B27" s="10">
        <f>B25-B26</f>
        <v>1218700</v>
      </c>
    </row>
    <row r="29" spans="1:3" x14ac:dyDescent="0.2">
      <c r="A29" s="11" t="s">
        <v>38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ESTADO DE 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Vallejos</cp:lastModifiedBy>
  <dcterms:created xsi:type="dcterms:W3CDTF">2026-05-17T23:36:19Z</dcterms:created>
  <dcterms:modified xsi:type="dcterms:W3CDTF">2026-05-17T23:43:58Z</dcterms:modified>
</cp:coreProperties>
</file>